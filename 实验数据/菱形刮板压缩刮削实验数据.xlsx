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1D5C4DB-7E61-41E7-AA4B-9DBFA7AFC522}" xr6:coauthVersionLast="47" xr6:coauthVersionMax="47" xr10:uidLastSave="{00000000-0000-0000-0000-000000000000}"/>
  <bookViews>
    <workbookView xWindow="-108" yWindow="-108" windowWidth="30936" windowHeight="16776" xr2:uid="{73F0F6F2-F1B5-4041-8ABC-8E674EA60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L5" i="1"/>
  <c r="R21" i="1"/>
  <c r="R13" i="1"/>
  <c r="Q37" i="1"/>
  <c r="Q29" i="1"/>
  <c r="Q21" i="1"/>
  <c r="Q13" i="1"/>
  <c r="P13" i="1"/>
  <c r="L37" i="1"/>
  <c r="L29" i="1"/>
  <c r="L21" i="1"/>
  <c r="L13" i="1"/>
  <c r="M5" i="1"/>
  <c r="M13" i="1"/>
  <c r="N37" i="1"/>
  <c r="N29" i="1"/>
  <c r="N21" i="1"/>
  <c r="N13" i="1"/>
  <c r="M29" i="1"/>
  <c r="M21" i="1"/>
  <c r="K37" i="1"/>
  <c r="O37" i="1" s="1"/>
  <c r="K29" i="1"/>
  <c r="K21" i="1"/>
  <c r="O21" i="1" s="1"/>
  <c r="K13" i="1"/>
  <c r="K5" i="1"/>
  <c r="P5" i="1" l="1"/>
  <c r="O13" i="1"/>
  <c r="O5" i="1"/>
  <c r="P37" i="1"/>
  <c r="R37" i="1" s="1"/>
  <c r="P29" i="1"/>
  <c r="P21" i="1"/>
  <c r="O29" i="1"/>
  <c r="Q5" i="1" l="1"/>
  <c r="R5" i="1" s="1"/>
  <c r="R29" i="1"/>
</calcChain>
</file>

<file path=xl/sharedStrings.xml><?xml version="1.0" encoding="utf-8"?>
<sst xmlns="http://schemas.openxmlformats.org/spreadsheetml/2006/main" count="36" uniqueCount="28">
  <si>
    <t>第一组</t>
    <phoneticPr fontId="1" type="noConversion"/>
  </si>
  <si>
    <t>刮削前</t>
    <phoneticPr fontId="1" type="noConversion"/>
  </si>
  <si>
    <t>刮削后</t>
    <phoneticPr fontId="1" type="noConversion"/>
  </si>
  <si>
    <t>第二组</t>
    <phoneticPr fontId="1" type="noConversion"/>
  </si>
  <si>
    <t>第三组</t>
    <phoneticPr fontId="1" type="noConversion"/>
  </si>
  <si>
    <t>第四组</t>
    <phoneticPr fontId="1" type="noConversion"/>
  </si>
  <si>
    <t>第五组</t>
    <phoneticPr fontId="1" type="noConversion"/>
  </si>
  <si>
    <t>弹簧原长</t>
    <phoneticPr fontId="1" type="noConversion"/>
  </si>
  <si>
    <t>压缩后</t>
    <phoneticPr fontId="1" type="noConversion"/>
  </si>
  <si>
    <t>L3-(L4+L5)/2</t>
    <phoneticPr fontId="1" type="noConversion"/>
  </si>
  <si>
    <t>单位：mm</t>
    <phoneticPr fontId="1" type="noConversion"/>
  </si>
  <si>
    <t>L3（相对最深高度）</t>
    <phoneticPr fontId="1" type="noConversion"/>
  </si>
  <si>
    <t>L4（相对边坑左高度）</t>
    <phoneticPr fontId="1" type="noConversion"/>
  </si>
  <si>
    <t>L5（相对边坑右高度）</t>
    <phoneticPr fontId="1" type="noConversion"/>
  </si>
  <si>
    <t>L1（）</t>
    <phoneticPr fontId="1" type="noConversion"/>
  </si>
  <si>
    <t>L2（）</t>
    <phoneticPr fontId="1" type="noConversion"/>
  </si>
  <si>
    <t>L2()</t>
    <phoneticPr fontId="1" type="noConversion"/>
  </si>
  <si>
    <t>·</t>
    <phoneticPr fontId="1" type="noConversion"/>
  </si>
  <si>
    <t>L11</t>
    <phoneticPr fontId="1" type="noConversion"/>
  </si>
  <si>
    <t>L12</t>
    <phoneticPr fontId="1" type="noConversion"/>
  </si>
  <si>
    <t>压缩前平均值L11</t>
    <phoneticPr fontId="1" type="noConversion"/>
  </si>
  <si>
    <t>压缩后平均值L12</t>
    <phoneticPr fontId="1" type="noConversion"/>
  </si>
  <si>
    <t>压缩前平均值L21</t>
    <phoneticPr fontId="1" type="noConversion"/>
  </si>
  <si>
    <t>实验后平均值L22</t>
    <phoneticPr fontId="1" type="noConversion"/>
  </si>
  <si>
    <r>
      <t>累积坑深度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等线"/>
        <family val="3"/>
        <charset val="134"/>
      </rPr>
      <t>c</t>
    </r>
    <r>
      <rPr>
        <sz val="11"/>
        <color theme="1"/>
        <rFont val="等线"/>
        <family val="2"/>
        <charset val="134"/>
        <scheme val="minor"/>
      </rPr>
      <t>'</t>
    </r>
    <phoneticPr fontId="1" type="noConversion"/>
  </si>
  <si>
    <r>
      <t>单次刮削厚度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等线"/>
        <family val="3"/>
        <charset val="134"/>
        <scheme val="minor"/>
      </rPr>
      <t>c</t>
    </r>
    <phoneticPr fontId="1" type="noConversion"/>
  </si>
  <si>
    <r>
      <t>△L1-△L2(实际压缩值)  L11-L12-</t>
    </r>
    <r>
      <rPr>
        <sz val="11"/>
        <color theme="1"/>
        <rFont val="Symbol"/>
        <family val="1"/>
        <charset val="2"/>
      </rPr>
      <t>d</t>
    </r>
    <r>
      <rPr>
        <sz val="9.35"/>
        <color theme="1"/>
        <rFont val="等线"/>
        <family val="3"/>
        <charset val="134"/>
        <scheme val="minor"/>
      </rPr>
      <t>f</t>
    </r>
    <phoneticPr fontId="1" type="noConversion"/>
  </si>
  <si>
    <r>
      <t>弹簧压缩估计值</t>
    </r>
    <r>
      <rPr>
        <sz val="11"/>
        <color theme="1"/>
        <rFont val="Symbol"/>
        <family val="1"/>
        <charset val="2"/>
      </rPr>
      <t>d</t>
    </r>
    <r>
      <rPr>
        <sz val="9.35"/>
        <color theme="1"/>
        <rFont val="等线"/>
        <family val="3"/>
        <charset val="134"/>
      </rPr>
      <t>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</si>
</sst>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ymbol"/>
      <family val="1"/>
      <charset val="2"/>
    </font>
    <font>
      <sz val="9.35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.3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刮削深度与弹簧压缩量之间的关系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Sheet1!$Q$5:$Q$44</c:f>
              <c:numCache>
                <c:formatCode>General</c:formatCode>
                <c:ptCount val="40"/>
                <c:pt idx="0">
                  <c:v>4.7099999999999955</c:v>
                </c:pt>
                <c:pt idx="8">
                  <c:v>7.0950000000000131</c:v>
                </c:pt>
                <c:pt idx="16">
                  <c:v>9.2900000000000151</c:v>
                </c:pt>
                <c:pt idx="24">
                  <c:v>9.59</c:v>
                </c:pt>
                <c:pt idx="32">
                  <c:v>12.010000000000002</c:v>
                </c:pt>
              </c:numCache>
            </c:numRef>
          </c:xVal>
          <c:yVal>
            <c:numRef>
              <c:f>Sheet1!$J$5:$J$44</c:f>
              <c:numCache>
                <c:formatCode>General</c:formatCode>
                <c:ptCount val="40"/>
                <c:pt idx="0">
                  <c:v>0.85</c:v>
                </c:pt>
                <c:pt idx="8">
                  <c:v>0.71</c:v>
                </c:pt>
                <c:pt idx="16">
                  <c:v>0.64</c:v>
                </c:pt>
                <c:pt idx="24">
                  <c:v>0.11</c:v>
                </c:pt>
                <c:pt idx="32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5E-46B0-943F-9DC28B5F7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10816"/>
        <c:axId val="426811296"/>
      </c:scatterChart>
      <c:valAx>
        <c:axId val="42681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弹簧压缩量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6811296"/>
        <c:crosses val="autoZero"/>
        <c:crossBetween val="midCat"/>
      </c:valAx>
      <c:valAx>
        <c:axId val="42681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刮削深度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681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8966</xdr:colOff>
      <xdr:row>47</xdr:row>
      <xdr:rowOff>17927</xdr:rowOff>
    </xdr:from>
    <xdr:to>
      <xdr:col>16</xdr:col>
      <xdr:colOff>681319</xdr:colOff>
      <xdr:row>61</xdr:row>
      <xdr:rowOff>170329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2CE2584-106F-A759-519D-65A205694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AEE5-302B-4500-8BA8-C8E522C1BE0C}">
  <dimension ref="A3:R49"/>
  <sheetViews>
    <sheetView tabSelected="1" zoomScale="85" zoomScaleNormal="85" workbookViewId="0">
      <selection activeCell="T5" sqref="T5"/>
    </sheetView>
  </sheetViews>
  <sheetFormatPr defaultRowHeight="13.8" x14ac:dyDescent="0.25"/>
  <cols>
    <col min="6" max="6" width="18.88671875" customWidth="1"/>
    <col min="7" max="7" width="20.44140625" customWidth="1"/>
    <col min="8" max="8" width="22.44140625" customWidth="1"/>
    <col min="9" max="9" width="14.77734375" customWidth="1"/>
    <col min="10" max="10" width="18.5546875" customWidth="1"/>
    <col min="11" max="11" width="17.6640625" customWidth="1"/>
    <col min="12" max="12" width="17.5546875" customWidth="1"/>
    <col min="13" max="13" width="19.44140625" customWidth="1"/>
    <col min="14" max="14" width="17.6640625" customWidth="1"/>
    <col min="17" max="17" width="44.21875" customWidth="1"/>
    <col min="18" max="18" width="25" customWidth="1"/>
  </cols>
  <sheetData>
    <row r="3" spans="1:18" x14ac:dyDescent="0.25">
      <c r="A3" s="13" t="s">
        <v>10</v>
      </c>
      <c r="B3" s="13"/>
      <c r="C3" s="13" t="s">
        <v>1</v>
      </c>
      <c r="D3" s="13"/>
      <c r="E3" s="17" t="s">
        <v>2</v>
      </c>
      <c r="F3" s="18"/>
      <c r="G3" s="18"/>
      <c r="H3" s="19"/>
      <c r="I3" s="11" t="s">
        <v>24</v>
      </c>
      <c r="J3" s="11" t="s">
        <v>25</v>
      </c>
      <c r="K3" t="s">
        <v>20</v>
      </c>
      <c r="L3" t="s">
        <v>22</v>
      </c>
      <c r="M3" t="s">
        <v>21</v>
      </c>
      <c r="N3" t="s">
        <v>23</v>
      </c>
      <c r="O3" t="s">
        <v>18</v>
      </c>
      <c r="P3" t="s">
        <v>19</v>
      </c>
      <c r="Q3" t="s">
        <v>26</v>
      </c>
      <c r="R3" t="s">
        <v>27</v>
      </c>
    </row>
    <row r="4" spans="1:18" x14ac:dyDescent="0.25">
      <c r="A4" s="13"/>
      <c r="B4" s="13"/>
      <c r="C4" s="10" t="s">
        <v>14</v>
      </c>
      <c r="D4" s="10" t="s">
        <v>15</v>
      </c>
      <c r="E4" s="10" t="s">
        <v>16</v>
      </c>
      <c r="F4" s="10" t="s">
        <v>11</v>
      </c>
      <c r="G4" s="10" t="s">
        <v>12</v>
      </c>
      <c r="H4" s="10" t="s">
        <v>13</v>
      </c>
      <c r="I4" s="11" t="s">
        <v>9</v>
      </c>
      <c r="J4" s="11"/>
    </row>
    <row r="5" spans="1:18" x14ac:dyDescent="0.25">
      <c r="A5" s="13" t="s">
        <v>0</v>
      </c>
      <c r="B5" s="13" t="s">
        <v>7</v>
      </c>
      <c r="C5" s="1">
        <v>15.4</v>
      </c>
      <c r="D5" s="2">
        <v>88.66</v>
      </c>
      <c r="E5" s="14"/>
      <c r="F5" s="13">
        <v>66.52</v>
      </c>
      <c r="G5" s="13">
        <v>65.7</v>
      </c>
      <c r="H5" s="13">
        <v>65.64</v>
      </c>
      <c r="I5" s="13">
        <v>0.85</v>
      </c>
      <c r="J5" s="13">
        <v>0.85</v>
      </c>
      <c r="K5" s="20">
        <f>AVERAGE(C5:C8)</f>
        <v>15.725</v>
      </c>
      <c r="L5" s="12">
        <f>AVERAGE(D9:D12)</f>
        <v>84.18</v>
      </c>
      <c r="M5" s="12">
        <f>AVERAGE(C9:C12)</f>
        <v>10.66</v>
      </c>
      <c r="N5" s="12">
        <f>AVERAGE(E9:E12)</f>
        <v>83.825000000000003</v>
      </c>
      <c r="O5" s="12">
        <f>ABS(K5-M5)</f>
        <v>5.0649999999999995</v>
      </c>
      <c r="P5" s="12">
        <f>ABS(L5-N5)</f>
        <v>0.35500000000000398</v>
      </c>
      <c r="Q5" s="12">
        <f>ABS(O5-P5)</f>
        <v>4.7099999999999955</v>
      </c>
      <c r="R5" s="12">
        <f>ABS(Q5-I5)</f>
        <v>3.8599999999999954</v>
      </c>
    </row>
    <row r="6" spans="1:18" x14ac:dyDescent="0.25">
      <c r="A6" s="13"/>
      <c r="B6" s="13"/>
      <c r="C6" s="3">
        <v>16</v>
      </c>
      <c r="D6" s="4">
        <v>88</v>
      </c>
      <c r="E6" s="15"/>
      <c r="F6" s="13"/>
      <c r="G6" s="13"/>
      <c r="H6" s="13"/>
      <c r="I6" s="13"/>
      <c r="J6" s="13"/>
      <c r="K6" s="20"/>
      <c r="L6" s="12"/>
      <c r="M6" s="12"/>
      <c r="N6" s="12"/>
      <c r="O6" s="12"/>
      <c r="P6" s="12"/>
      <c r="Q6" s="12"/>
      <c r="R6" s="12"/>
    </row>
    <row r="7" spans="1:18" x14ac:dyDescent="0.25">
      <c r="A7" s="13"/>
      <c r="B7" s="13"/>
      <c r="C7" s="3">
        <v>15.5</v>
      </c>
      <c r="D7" s="4">
        <v>87.5</v>
      </c>
      <c r="E7" s="15"/>
      <c r="F7" s="13"/>
      <c r="G7" s="13"/>
      <c r="H7" s="13"/>
      <c r="I7" s="13"/>
      <c r="J7" s="13"/>
      <c r="K7" s="20"/>
      <c r="L7" s="12"/>
      <c r="M7" s="12"/>
      <c r="N7" s="12"/>
      <c r="O7" s="12"/>
      <c r="P7" s="12"/>
      <c r="Q7" s="12"/>
      <c r="R7" s="12"/>
    </row>
    <row r="8" spans="1:18" x14ac:dyDescent="0.25">
      <c r="A8" s="13"/>
      <c r="B8" s="13"/>
      <c r="C8" s="5">
        <v>16</v>
      </c>
      <c r="D8" s="6">
        <v>86.92</v>
      </c>
      <c r="E8" s="16"/>
      <c r="F8" s="13"/>
      <c r="G8" s="13"/>
      <c r="H8" s="13"/>
      <c r="I8" s="13"/>
      <c r="J8" s="13"/>
      <c r="K8" s="20"/>
      <c r="L8" s="12"/>
      <c r="M8" s="12"/>
      <c r="N8" s="12"/>
      <c r="O8" s="12"/>
      <c r="P8" s="12"/>
      <c r="Q8" s="12"/>
      <c r="R8" s="12"/>
    </row>
    <row r="9" spans="1:18" x14ac:dyDescent="0.25">
      <c r="A9" s="13"/>
      <c r="B9" s="13" t="s">
        <v>8</v>
      </c>
      <c r="C9" s="1">
        <v>10.4</v>
      </c>
      <c r="D9" s="2">
        <v>84.2</v>
      </c>
      <c r="E9" s="7">
        <v>84.32</v>
      </c>
      <c r="F9" s="13"/>
      <c r="G9" s="13"/>
      <c r="H9" s="13"/>
      <c r="I9" s="13"/>
      <c r="J9" s="13"/>
      <c r="K9" s="20"/>
      <c r="L9" s="12"/>
      <c r="M9" s="12"/>
      <c r="N9" s="12"/>
      <c r="O9" s="12"/>
      <c r="P9" s="12"/>
      <c r="Q9" s="12"/>
      <c r="R9" s="12"/>
    </row>
    <row r="10" spans="1:18" x14ac:dyDescent="0.25">
      <c r="A10" s="13"/>
      <c r="B10" s="13"/>
      <c r="C10" s="3">
        <v>10.4</v>
      </c>
      <c r="D10" s="4">
        <v>84.78</v>
      </c>
      <c r="E10" s="8">
        <v>83.54</v>
      </c>
      <c r="F10" s="13"/>
      <c r="G10" s="13"/>
      <c r="H10" s="13"/>
      <c r="I10" s="13"/>
      <c r="J10" s="13"/>
      <c r="K10" s="20"/>
      <c r="L10" s="12"/>
      <c r="M10" s="12"/>
      <c r="N10" s="12"/>
      <c r="O10" s="12"/>
      <c r="P10" s="12"/>
      <c r="Q10" s="12"/>
      <c r="R10" s="12"/>
    </row>
    <row r="11" spans="1:18" x14ac:dyDescent="0.25">
      <c r="A11" s="13"/>
      <c r="B11" s="13"/>
      <c r="C11" s="3">
        <v>10.9</v>
      </c>
      <c r="D11" s="4">
        <v>84</v>
      </c>
      <c r="E11" s="8">
        <v>83.34</v>
      </c>
      <c r="F11" s="13"/>
      <c r="G11" s="13"/>
      <c r="H11" s="13"/>
      <c r="I11" s="13"/>
      <c r="J11" s="13"/>
      <c r="K11" s="20"/>
      <c r="L11" s="12"/>
      <c r="M11" s="12"/>
      <c r="N11" s="12"/>
      <c r="O11" s="12"/>
      <c r="P11" s="12"/>
      <c r="Q11" s="12"/>
      <c r="R11" s="12"/>
    </row>
    <row r="12" spans="1:18" x14ac:dyDescent="0.25">
      <c r="A12" s="13"/>
      <c r="B12" s="13"/>
      <c r="C12" s="5">
        <v>10.94</v>
      </c>
      <c r="D12" s="6">
        <v>83.74</v>
      </c>
      <c r="E12" s="9">
        <v>84.1</v>
      </c>
      <c r="F12" s="13"/>
      <c r="G12" s="13"/>
      <c r="H12" s="13"/>
      <c r="I12" s="13"/>
      <c r="J12" s="13"/>
      <c r="K12" s="20"/>
      <c r="L12" s="12"/>
      <c r="M12" s="12"/>
      <c r="N12" s="12"/>
      <c r="O12" s="12"/>
      <c r="P12" s="12"/>
      <c r="Q12" s="12"/>
      <c r="R12" s="12"/>
    </row>
    <row r="13" spans="1:18" x14ac:dyDescent="0.25">
      <c r="A13" s="13" t="s">
        <v>3</v>
      </c>
      <c r="B13" s="13" t="s">
        <v>7</v>
      </c>
      <c r="C13" s="3">
        <v>16.22</v>
      </c>
      <c r="D13" s="4">
        <v>88.4</v>
      </c>
      <c r="E13" s="14"/>
      <c r="F13" s="13">
        <v>67.86</v>
      </c>
      <c r="G13" s="13">
        <v>65.7</v>
      </c>
      <c r="H13" s="13">
        <v>65.900000000000006</v>
      </c>
      <c r="I13" s="13">
        <v>1.56</v>
      </c>
      <c r="J13" s="13">
        <v>0.71</v>
      </c>
      <c r="K13" s="20">
        <f>AVERAGE(C13:C16)</f>
        <v>15.319999999999999</v>
      </c>
      <c r="L13" s="12">
        <f>AVERAGE(D17:D20)</f>
        <v>82.35</v>
      </c>
      <c r="M13" s="12">
        <f>AVERAGE(C17:C20)</f>
        <v>8.1150000000000002</v>
      </c>
      <c r="N13" s="12">
        <f>AVERAGE(E17:E20)</f>
        <v>82.240000000000009</v>
      </c>
      <c r="O13" s="12">
        <f>ABS(K13-M13)</f>
        <v>7.2049999999999983</v>
      </c>
      <c r="P13" s="12">
        <f>ABS(L13-N13)</f>
        <v>0.10999999999998522</v>
      </c>
      <c r="Q13" s="12">
        <f>ABS(O13-P13)</f>
        <v>7.0950000000000131</v>
      </c>
      <c r="R13" s="12">
        <f>ABS(Q13-I13)</f>
        <v>5.5350000000000126</v>
      </c>
    </row>
    <row r="14" spans="1:18" x14ac:dyDescent="0.25">
      <c r="A14" s="13"/>
      <c r="B14" s="13"/>
      <c r="C14" s="3">
        <v>16.239999999999998</v>
      </c>
      <c r="D14" s="4">
        <v>89</v>
      </c>
      <c r="E14" s="15"/>
      <c r="F14" s="13"/>
      <c r="G14" s="13"/>
      <c r="H14" s="13"/>
      <c r="I14" s="13"/>
      <c r="J14" s="13"/>
      <c r="K14" s="20"/>
      <c r="L14" s="12"/>
      <c r="M14" s="12"/>
      <c r="N14" s="12"/>
      <c r="O14" s="12"/>
      <c r="P14" s="12"/>
      <c r="Q14" s="12"/>
      <c r="R14" s="12"/>
    </row>
    <row r="15" spans="1:18" x14ac:dyDescent="0.25">
      <c r="A15" s="13"/>
      <c r="B15" s="13"/>
      <c r="C15" s="3">
        <v>14</v>
      </c>
      <c r="D15" s="4">
        <v>87</v>
      </c>
      <c r="E15" s="15"/>
      <c r="F15" s="13"/>
      <c r="G15" s="13"/>
      <c r="H15" s="13"/>
      <c r="I15" s="13"/>
      <c r="J15" s="13"/>
      <c r="K15" s="20"/>
      <c r="L15" s="12"/>
      <c r="M15" s="12"/>
      <c r="N15" s="12"/>
      <c r="O15" s="12"/>
      <c r="P15" s="12"/>
      <c r="Q15" s="12"/>
      <c r="R15" s="12"/>
    </row>
    <row r="16" spans="1:18" x14ac:dyDescent="0.25">
      <c r="A16" s="13"/>
      <c r="B16" s="13"/>
      <c r="C16" s="3">
        <v>14.82</v>
      </c>
      <c r="D16" s="6">
        <v>86.32</v>
      </c>
      <c r="E16" s="16"/>
      <c r="F16" s="13"/>
      <c r="G16" s="13"/>
      <c r="H16" s="13"/>
      <c r="I16" s="13"/>
      <c r="J16" s="13"/>
      <c r="K16" s="20"/>
      <c r="L16" s="12"/>
      <c r="M16" s="12"/>
      <c r="N16" s="12"/>
      <c r="O16" s="12"/>
      <c r="P16" s="12"/>
      <c r="Q16" s="12"/>
      <c r="R16" s="12"/>
    </row>
    <row r="17" spans="1:18" x14ac:dyDescent="0.25">
      <c r="A17" s="13"/>
      <c r="B17" s="13" t="s">
        <v>8</v>
      </c>
      <c r="C17" s="1">
        <v>8</v>
      </c>
      <c r="D17" s="2">
        <v>82.4</v>
      </c>
      <c r="E17" s="8">
        <v>82.66</v>
      </c>
      <c r="F17" s="13"/>
      <c r="G17" s="13"/>
      <c r="H17" s="13"/>
      <c r="I17" s="13"/>
      <c r="J17" s="13"/>
      <c r="K17" s="20"/>
      <c r="L17" s="12"/>
      <c r="M17" s="12"/>
      <c r="N17" s="12"/>
      <c r="O17" s="12"/>
      <c r="P17" s="12"/>
      <c r="Q17" s="12"/>
      <c r="R17" s="12"/>
    </row>
    <row r="18" spans="1:18" x14ac:dyDescent="0.25">
      <c r="A18" s="13"/>
      <c r="B18" s="13"/>
      <c r="C18" s="3">
        <v>8.6</v>
      </c>
      <c r="D18" s="4">
        <v>82</v>
      </c>
      <c r="E18" s="8">
        <v>81.64</v>
      </c>
      <c r="F18" s="13"/>
      <c r="G18" s="13"/>
      <c r="H18" s="13"/>
      <c r="I18" s="13"/>
      <c r="J18" s="13"/>
      <c r="K18" s="20"/>
      <c r="L18" s="12"/>
      <c r="M18" s="12"/>
      <c r="N18" s="12"/>
      <c r="O18" s="12"/>
      <c r="P18" s="12"/>
      <c r="Q18" s="12"/>
      <c r="R18" s="12"/>
    </row>
    <row r="19" spans="1:18" x14ac:dyDescent="0.25">
      <c r="A19" s="13"/>
      <c r="B19" s="13"/>
      <c r="C19" s="3">
        <v>7.66</v>
      </c>
      <c r="D19" s="4">
        <v>82.5</v>
      </c>
      <c r="E19" s="8">
        <v>82.26</v>
      </c>
      <c r="F19" s="13"/>
      <c r="G19" s="13"/>
      <c r="H19" s="13"/>
      <c r="I19" s="13"/>
      <c r="J19" s="13"/>
      <c r="K19" s="20"/>
      <c r="L19" s="12"/>
      <c r="M19" s="12"/>
      <c r="N19" s="12"/>
      <c r="O19" s="12"/>
      <c r="P19" s="12"/>
      <c r="Q19" s="12"/>
      <c r="R19" s="12"/>
    </row>
    <row r="20" spans="1:18" x14ac:dyDescent="0.25">
      <c r="A20" s="13"/>
      <c r="B20" s="13"/>
      <c r="C20" s="5">
        <v>8.1999999999999993</v>
      </c>
      <c r="D20" s="6">
        <v>82.5</v>
      </c>
      <c r="E20" s="9">
        <v>82.4</v>
      </c>
      <c r="F20" s="13"/>
      <c r="G20" s="13"/>
      <c r="H20" s="13"/>
      <c r="I20" s="13"/>
      <c r="J20" s="13"/>
      <c r="K20" s="20"/>
      <c r="L20" s="12"/>
      <c r="M20" s="12"/>
      <c r="N20" s="12"/>
      <c r="O20" s="12"/>
      <c r="P20" s="12"/>
      <c r="Q20" s="12"/>
      <c r="R20" s="12"/>
    </row>
    <row r="21" spans="1:18" x14ac:dyDescent="0.25">
      <c r="A21" s="13" t="s">
        <v>4</v>
      </c>
      <c r="B21" s="13" t="s">
        <v>7</v>
      </c>
      <c r="C21" s="1">
        <v>15.72</v>
      </c>
      <c r="D21" s="2">
        <v>88.9</v>
      </c>
      <c r="E21" s="7"/>
      <c r="F21" s="13">
        <v>68.400000000000006</v>
      </c>
      <c r="G21" s="13">
        <v>66.2</v>
      </c>
      <c r="H21" s="13">
        <v>66.2</v>
      </c>
      <c r="I21" s="13">
        <v>2.2000000000000002</v>
      </c>
      <c r="J21" s="13">
        <v>0.64</v>
      </c>
      <c r="K21" s="20">
        <f>AVERAGE(C21:C24)</f>
        <v>14.905000000000001</v>
      </c>
      <c r="L21" s="12">
        <f>AVERAGE(D25:D28)</f>
        <v>80.709999999999994</v>
      </c>
      <c r="M21" s="12">
        <f>AVERAGE(C25:C28)</f>
        <v>5.35</v>
      </c>
      <c r="N21" s="12">
        <f>AVERAGE(E25:E28)</f>
        <v>80.445000000000007</v>
      </c>
      <c r="O21" s="12">
        <f>ABS(K21-M21)</f>
        <v>9.5550000000000015</v>
      </c>
      <c r="P21" s="12">
        <f>ABS(L21-N21)</f>
        <v>0.26499999999998636</v>
      </c>
      <c r="Q21" s="12">
        <f>ABS(O21-P21)</f>
        <v>9.2900000000000151</v>
      </c>
      <c r="R21" s="12">
        <f>ABS(Q21-I21)</f>
        <v>7.090000000000015</v>
      </c>
    </row>
    <row r="22" spans="1:18" x14ac:dyDescent="0.25">
      <c r="A22" s="13"/>
      <c r="B22" s="13"/>
      <c r="C22" s="3">
        <v>14.26</v>
      </c>
      <c r="D22" s="4">
        <v>86.58</v>
      </c>
      <c r="E22" s="8"/>
      <c r="F22" s="13"/>
      <c r="G22" s="13"/>
      <c r="H22" s="13"/>
      <c r="I22" s="13"/>
      <c r="J22" s="13"/>
      <c r="K22" s="20"/>
      <c r="L22" s="12"/>
      <c r="M22" s="12"/>
      <c r="N22" s="12"/>
      <c r="O22" s="12"/>
      <c r="P22" s="12"/>
      <c r="Q22" s="12"/>
      <c r="R22" s="12"/>
    </row>
    <row r="23" spans="1:18" x14ac:dyDescent="0.25">
      <c r="A23" s="13"/>
      <c r="B23" s="13"/>
      <c r="C23" s="3">
        <v>14.14</v>
      </c>
      <c r="D23" s="4">
        <v>86.32</v>
      </c>
      <c r="E23" s="8"/>
      <c r="F23" s="13"/>
      <c r="G23" s="13"/>
      <c r="H23" s="13"/>
      <c r="I23" s="13"/>
      <c r="J23" s="13"/>
      <c r="K23" s="20"/>
      <c r="L23" s="12"/>
      <c r="M23" s="12"/>
      <c r="N23" s="12"/>
      <c r="O23" s="12"/>
      <c r="P23" s="12"/>
      <c r="Q23" s="12"/>
      <c r="R23" s="12"/>
    </row>
    <row r="24" spans="1:18" x14ac:dyDescent="0.25">
      <c r="A24" s="13"/>
      <c r="B24" s="13"/>
      <c r="C24" s="5">
        <v>15.5</v>
      </c>
      <c r="D24" s="6">
        <v>89.4</v>
      </c>
      <c r="E24" s="9"/>
      <c r="F24" s="13"/>
      <c r="G24" s="13"/>
      <c r="H24" s="13"/>
      <c r="I24" s="13"/>
      <c r="J24" s="13"/>
      <c r="K24" s="20"/>
      <c r="L24" s="12"/>
      <c r="M24" s="12"/>
      <c r="N24" s="12"/>
      <c r="O24" s="12"/>
      <c r="P24" s="12"/>
      <c r="Q24" s="12"/>
      <c r="R24" s="12"/>
    </row>
    <row r="25" spans="1:18" x14ac:dyDescent="0.25">
      <c r="A25" s="13"/>
      <c r="B25" s="13" t="s">
        <v>8</v>
      </c>
      <c r="C25" s="1">
        <v>5</v>
      </c>
      <c r="D25" s="4">
        <v>81.099999999999994</v>
      </c>
      <c r="E25" s="8">
        <v>80.900000000000006</v>
      </c>
      <c r="F25" s="13"/>
      <c r="G25" s="13"/>
      <c r="H25" s="13"/>
      <c r="I25" s="13"/>
      <c r="J25" s="13"/>
      <c r="K25" s="20"/>
      <c r="L25" s="12"/>
      <c r="M25" s="12"/>
      <c r="N25" s="12"/>
      <c r="O25" s="12"/>
      <c r="P25" s="12"/>
      <c r="Q25" s="12"/>
      <c r="R25" s="12"/>
    </row>
    <row r="26" spans="1:18" x14ac:dyDescent="0.25">
      <c r="A26" s="13"/>
      <c r="B26" s="13"/>
      <c r="C26" s="3">
        <v>6</v>
      </c>
      <c r="D26" s="4">
        <v>79.819999999999993</v>
      </c>
      <c r="E26" s="8">
        <v>79.400000000000006</v>
      </c>
      <c r="F26" s="13"/>
      <c r="G26" s="13"/>
      <c r="H26" s="13"/>
      <c r="I26" s="13"/>
      <c r="J26" s="13"/>
      <c r="K26" s="20"/>
      <c r="L26" s="12"/>
      <c r="M26" s="12"/>
      <c r="N26" s="12"/>
      <c r="O26" s="12"/>
      <c r="P26" s="12"/>
      <c r="Q26" s="12"/>
      <c r="R26" s="12"/>
    </row>
    <row r="27" spans="1:18" x14ac:dyDescent="0.25">
      <c r="A27" s="13"/>
      <c r="B27" s="13"/>
      <c r="C27" s="3">
        <v>5.3</v>
      </c>
      <c r="D27" s="4">
        <v>80</v>
      </c>
      <c r="E27" s="8">
        <v>80</v>
      </c>
      <c r="F27" s="13"/>
      <c r="G27" s="13"/>
      <c r="H27" s="13"/>
      <c r="I27" s="13"/>
      <c r="J27" s="13"/>
      <c r="K27" s="20"/>
      <c r="L27" s="12"/>
      <c r="M27" s="12"/>
      <c r="N27" s="12"/>
      <c r="O27" s="12"/>
      <c r="P27" s="12"/>
      <c r="Q27" s="12"/>
      <c r="R27" s="12"/>
    </row>
    <row r="28" spans="1:18" x14ac:dyDescent="0.25">
      <c r="A28" s="13"/>
      <c r="B28" s="13"/>
      <c r="C28" s="5">
        <v>5.0999999999999996</v>
      </c>
      <c r="D28" s="6">
        <v>81.92</v>
      </c>
      <c r="E28" s="9">
        <v>81.48</v>
      </c>
      <c r="F28" s="13"/>
      <c r="G28" s="13"/>
      <c r="H28" s="13"/>
      <c r="I28" s="13"/>
      <c r="J28" s="13"/>
      <c r="K28" s="20"/>
      <c r="L28" s="12"/>
      <c r="M28" s="12"/>
      <c r="N28" s="12"/>
      <c r="O28" s="12"/>
      <c r="P28" s="12"/>
      <c r="Q28" s="12"/>
      <c r="R28" s="12"/>
    </row>
    <row r="29" spans="1:18" x14ac:dyDescent="0.25">
      <c r="A29" s="13" t="s">
        <v>5</v>
      </c>
      <c r="B29" s="13" t="s">
        <v>7</v>
      </c>
      <c r="C29" s="1">
        <v>14.9</v>
      </c>
      <c r="D29" s="2">
        <v>87.66</v>
      </c>
      <c r="E29" s="14"/>
      <c r="F29" s="13">
        <v>68.739999999999995</v>
      </c>
      <c r="G29" s="13">
        <v>66.3</v>
      </c>
      <c r="H29" s="13">
        <v>66.56</v>
      </c>
      <c r="I29" s="13">
        <v>2.31</v>
      </c>
      <c r="J29" s="13">
        <v>0.11</v>
      </c>
      <c r="K29" s="20">
        <f>AVERAGE(C29:C32)</f>
        <v>13.84</v>
      </c>
      <c r="L29" s="12">
        <f>AVERAGE(D33:D36)</f>
        <v>80.075000000000003</v>
      </c>
      <c r="M29" s="12">
        <f>AVERAGE(C33:C36)</f>
        <v>4</v>
      </c>
      <c r="N29" s="12">
        <f>AVERAGE(E33:E36)</f>
        <v>79.825000000000003</v>
      </c>
      <c r="O29" s="12">
        <f>ABS(K29-M29)</f>
        <v>9.84</v>
      </c>
      <c r="P29" s="12">
        <f>ABS(L29-N29)</f>
        <v>0.25</v>
      </c>
      <c r="Q29" s="12">
        <f>ABS(O29-P29)</f>
        <v>9.59</v>
      </c>
      <c r="R29" s="12">
        <f>ABS(Q29-I29)</f>
        <v>7.2799999999999994</v>
      </c>
    </row>
    <row r="30" spans="1:18" x14ac:dyDescent="0.25">
      <c r="A30" s="13"/>
      <c r="B30" s="13"/>
      <c r="C30" s="3">
        <v>13.66</v>
      </c>
      <c r="D30" s="4">
        <v>88.6</v>
      </c>
      <c r="E30" s="15"/>
      <c r="F30" s="13"/>
      <c r="G30" s="13"/>
      <c r="H30" s="13"/>
      <c r="I30" s="13"/>
      <c r="J30" s="13"/>
      <c r="K30" s="20"/>
      <c r="L30" s="12"/>
      <c r="M30" s="12"/>
      <c r="N30" s="12"/>
      <c r="O30" s="12"/>
      <c r="P30" s="12"/>
      <c r="Q30" s="12"/>
      <c r="R30" s="12"/>
    </row>
    <row r="31" spans="1:18" x14ac:dyDescent="0.25">
      <c r="A31" s="13"/>
      <c r="B31" s="13"/>
      <c r="C31" s="3">
        <v>13</v>
      </c>
      <c r="D31" s="4">
        <v>86.28</v>
      </c>
      <c r="E31" s="15"/>
      <c r="F31" s="13"/>
      <c r="G31" s="13"/>
      <c r="H31" s="13"/>
      <c r="I31" s="13"/>
      <c r="J31" s="13"/>
      <c r="K31" s="20"/>
      <c r="L31" s="12"/>
      <c r="M31" s="12"/>
      <c r="N31" s="12"/>
      <c r="O31" s="12"/>
      <c r="P31" s="12"/>
      <c r="Q31" s="12"/>
      <c r="R31" s="12"/>
    </row>
    <row r="32" spans="1:18" x14ac:dyDescent="0.25">
      <c r="A32" s="13"/>
      <c r="B32" s="13"/>
      <c r="C32" s="5">
        <v>13.8</v>
      </c>
      <c r="D32" s="6">
        <v>85.5</v>
      </c>
      <c r="E32" s="16"/>
      <c r="F32" s="13"/>
      <c r="G32" s="13"/>
      <c r="H32" s="13"/>
      <c r="I32" s="13"/>
      <c r="J32" s="13"/>
      <c r="K32" s="20"/>
      <c r="L32" s="12"/>
      <c r="M32" s="12"/>
      <c r="N32" s="12"/>
      <c r="O32" s="12"/>
      <c r="P32" s="12"/>
      <c r="Q32" s="12"/>
      <c r="R32" s="12"/>
    </row>
    <row r="33" spans="1:18" x14ac:dyDescent="0.25">
      <c r="A33" s="13"/>
      <c r="B33" s="13" t="s">
        <v>8</v>
      </c>
      <c r="C33" s="1">
        <v>4</v>
      </c>
      <c r="D33" s="2">
        <v>80.36</v>
      </c>
      <c r="E33" s="7">
        <v>80</v>
      </c>
      <c r="F33" s="13"/>
      <c r="G33" s="13"/>
      <c r="H33" s="13"/>
      <c r="I33" s="13"/>
      <c r="J33" s="13"/>
      <c r="K33" s="20"/>
      <c r="L33" s="12"/>
      <c r="M33" s="12"/>
      <c r="N33" s="12"/>
      <c r="O33" s="12"/>
      <c r="P33" s="12"/>
      <c r="Q33" s="12"/>
      <c r="R33" s="12"/>
    </row>
    <row r="34" spans="1:18" x14ac:dyDescent="0.25">
      <c r="A34" s="13"/>
      <c r="B34" s="13"/>
      <c r="C34" s="3">
        <v>4</v>
      </c>
      <c r="D34" s="4">
        <v>79.52</v>
      </c>
      <c r="E34" s="8">
        <v>79</v>
      </c>
      <c r="F34" s="13"/>
      <c r="G34" s="13"/>
      <c r="H34" s="13"/>
      <c r="I34" s="13"/>
      <c r="J34" s="13"/>
      <c r="K34" s="20"/>
      <c r="L34" s="12"/>
      <c r="M34" s="12"/>
      <c r="N34" s="12"/>
      <c r="O34" s="12"/>
      <c r="P34" s="12"/>
      <c r="Q34" s="12"/>
      <c r="R34" s="12"/>
    </row>
    <row r="35" spans="1:18" x14ac:dyDescent="0.25">
      <c r="A35" s="13"/>
      <c r="B35" s="13"/>
      <c r="C35" s="3">
        <v>4</v>
      </c>
      <c r="D35" s="4">
        <v>80.8</v>
      </c>
      <c r="E35" s="8">
        <v>79.8</v>
      </c>
      <c r="F35" s="13"/>
      <c r="G35" s="13"/>
      <c r="H35" s="13"/>
      <c r="I35" s="13"/>
      <c r="J35" s="13"/>
      <c r="K35" s="20"/>
      <c r="L35" s="12"/>
      <c r="M35" s="12"/>
      <c r="N35" s="12"/>
      <c r="O35" s="12"/>
      <c r="P35" s="12"/>
      <c r="Q35" s="12"/>
      <c r="R35" s="12"/>
    </row>
    <row r="36" spans="1:18" x14ac:dyDescent="0.25">
      <c r="A36" s="13"/>
      <c r="B36" s="13"/>
      <c r="C36" s="5">
        <v>4</v>
      </c>
      <c r="D36" s="6">
        <v>79.62</v>
      </c>
      <c r="E36" s="9">
        <v>80.5</v>
      </c>
      <c r="F36" s="13"/>
      <c r="G36" s="13"/>
      <c r="H36" s="13"/>
      <c r="I36" s="13"/>
      <c r="J36" s="13"/>
      <c r="K36" s="20"/>
      <c r="L36" s="12"/>
      <c r="M36" s="12"/>
      <c r="N36" s="12"/>
      <c r="O36" s="12"/>
      <c r="P36" s="12"/>
      <c r="Q36" s="12"/>
      <c r="R36" s="12"/>
    </row>
    <row r="37" spans="1:18" x14ac:dyDescent="0.25">
      <c r="A37" s="13" t="s">
        <v>6</v>
      </c>
      <c r="B37" s="13" t="s">
        <v>7</v>
      </c>
      <c r="C37" s="3">
        <v>14.4</v>
      </c>
      <c r="D37" s="2">
        <v>87.3</v>
      </c>
      <c r="E37" s="14"/>
      <c r="F37" s="13">
        <v>69.7</v>
      </c>
      <c r="G37" s="13">
        <v>67.319999999999993</v>
      </c>
      <c r="H37" s="13">
        <v>67.3</v>
      </c>
      <c r="I37" s="13">
        <v>2.39</v>
      </c>
      <c r="J37" s="13">
        <v>0.08</v>
      </c>
      <c r="K37" s="20">
        <f>AVERAGE(C37:C40)</f>
        <v>14.07</v>
      </c>
      <c r="L37" s="12">
        <f>AVERAGE(D41:D44)</f>
        <v>78.67</v>
      </c>
      <c r="M37" s="12">
        <v>1.7</v>
      </c>
      <c r="N37" s="12">
        <f>AVERAGE(E41:E44)</f>
        <v>78.31</v>
      </c>
      <c r="O37" s="12">
        <f>ABS(K37-M37)</f>
        <v>12.370000000000001</v>
      </c>
      <c r="P37" s="12">
        <f>ABS(L37-N37)</f>
        <v>0.35999999999999943</v>
      </c>
      <c r="Q37" s="12">
        <f>ABS(O37-P37)</f>
        <v>12.010000000000002</v>
      </c>
      <c r="R37" s="12">
        <f>ABS(Q37-I37)</f>
        <v>9.620000000000001</v>
      </c>
    </row>
    <row r="38" spans="1:18" x14ac:dyDescent="0.25">
      <c r="A38" s="13"/>
      <c r="B38" s="13"/>
      <c r="C38" s="3">
        <v>14.74</v>
      </c>
      <c r="D38" s="4">
        <v>86.3</v>
      </c>
      <c r="E38" s="15"/>
      <c r="F38" s="13"/>
      <c r="G38" s="13"/>
      <c r="H38" s="13"/>
      <c r="I38" s="13"/>
      <c r="J38" s="13"/>
      <c r="K38" s="20"/>
      <c r="L38" s="12"/>
      <c r="M38" s="12"/>
      <c r="N38" s="12"/>
      <c r="O38" s="12"/>
      <c r="P38" s="12"/>
      <c r="Q38" s="12"/>
      <c r="R38" s="12"/>
    </row>
    <row r="39" spans="1:18" x14ac:dyDescent="0.25">
      <c r="A39" s="13"/>
      <c r="B39" s="13"/>
      <c r="C39" s="3">
        <v>13.8</v>
      </c>
      <c r="D39" s="4">
        <v>87.5</v>
      </c>
      <c r="E39" s="15"/>
      <c r="F39" s="13"/>
      <c r="G39" s="13"/>
      <c r="H39" s="13"/>
      <c r="I39" s="13"/>
      <c r="J39" s="13"/>
      <c r="K39" s="20"/>
      <c r="L39" s="12"/>
      <c r="M39" s="12"/>
      <c r="N39" s="12"/>
      <c r="O39" s="12"/>
      <c r="P39" s="12"/>
      <c r="Q39" s="12"/>
      <c r="R39" s="12"/>
    </row>
    <row r="40" spans="1:18" x14ac:dyDescent="0.25">
      <c r="A40" s="13"/>
      <c r="B40" s="13"/>
      <c r="C40" s="3">
        <v>13.34</v>
      </c>
      <c r="D40" s="6">
        <v>87.56</v>
      </c>
      <c r="E40" s="16"/>
      <c r="F40" s="13"/>
      <c r="G40" s="13"/>
      <c r="H40" s="13"/>
      <c r="I40" s="13"/>
      <c r="J40" s="13"/>
      <c r="K40" s="20"/>
      <c r="L40" s="12"/>
      <c r="M40" s="12"/>
      <c r="N40" s="12"/>
      <c r="O40" s="12"/>
      <c r="P40" s="12"/>
      <c r="Q40" s="12"/>
      <c r="R40" s="12"/>
    </row>
    <row r="41" spans="1:18" x14ac:dyDescent="0.25">
      <c r="A41" s="13"/>
      <c r="B41" s="13" t="s">
        <v>8</v>
      </c>
      <c r="C41" s="1">
        <v>1.7</v>
      </c>
      <c r="D41" s="2">
        <v>78.599999999999994</v>
      </c>
      <c r="E41" s="7">
        <v>78.44</v>
      </c>
      <c r="F41" s="13"/>
      <c r="G41" s="13"/>
      <c r="H41" s="13"/>
      <c r="I41" s="13"/>
      <c r="J41" s="13"/>
      <c r="K41" s="20"/>
      <c r="L41" s="12"/>
      <c r="M41" s="12"/>
      <c r="N41" s="12"/>
      <c r="O41" s="12"/>
      <c r="P41" s="12"/>
      <c r="Q41" s="12"/>
      <c r="R41" s="12"/>
    </row>
    <row r="42" spans="1:18" x14ac:dyDescent="0.25">
      <c r="A42" s="13"/>
      <c r="B42" s="13"/>
      <c r="C42" s="3">
        <v>1.7</v>
      </c>
      <c r="D42" s="4">
        <v>77.7</v>
      </c>
      <c r="E42" s="8">
        <v>76.8</v>
      </c>
      <c r="F42" s="13"/>
      <c r="G42" s="13"/>
      <c r="H42" s="13"/>
      <c r="I42" s="13"/>
      <c r="J42" s="13"/>
      <c r="K42" s="20"/>
      <c r="L42" s="12"/>
      <c r="M42" s="12"/>
      <c r="N42" s="12"/>
      <c r="O42" s="12"/>
      <c r="P42" s="12"/>
      <c r="Q42" s="12"/>
      <c r="R42" s="12"/>
    </row>
    <row r="43" spans="1:18" x14ac:dyDescent="0.25">
      <c r="A43" s="13"/>
      <c r="B43" s="13"/>
      <c r="C43" s="3">
        <v>1.7</v>
      </c>
      <c r="D43" s="4">
        <v>78.599999999999994</v>
      </c>
      <c r="E43" s="8">
        <v>78.739999999999995</v>
      </c>
      <c r="F43" s="13"/>
      <c r="G43" s="13"/>
      <c r="H43" s="13"/>
      <c r="I43" s="13"/>
      <c r="J43" s="13"/>
      <c r="K43" s="20"/>
      <c r="L43" s="12"/>
      <c r="M43" s="12"/>
      <c r="N43" s="12"/>
      <c r="O43" s="12"/>
      <c r="P43" s="12"/>
      <c r="Q43" s="12"/>
      <c r="R43" s="12"/>
    </row>
    <row r="44" spans="1:18" x14ac:dyDescent="0.25">
      <c r="A44" s="13"/>
      <c r="B44" s="13"/>
      <c r="C44" s="5">
        <v>1.7</v>
      </c>
      <c r="D44" s="6">
        <v>79.78</v>
      </c>
      <c r="E44" s="9">
        <v>79.260000000000005</v>
      </c>
      <c r="F44" s="13"/>
      <c r="G44" s="13"/>
      <c r="H44" s="13"/>
      <c r="I44" s="13"/>
      <c r="J44" s="13"/>
      <c r="K44" s="20"/>
      <c r="L44" s="12"/>
      <c r="M44" s="12"/>
      <c r="N44" s="12"/>
      <c r="O44" s="12"/>
      <c r="P44" s="12"/>
      <c r="Q44" s="12"/>
      <c r="R44" s="12"/>
    </row>
    <row r="49" spans="13:13" x14ac:dyDescent="0.25">
      <c r="M49" t="s">
        <v>17</v>
      </c>
    </row>
  </sheetData>
  <mergeCells count="87">
    <mergeCell ref="Q5:Q12"/>
    <mergeCell ref="Q13:Q20"/>
    <mergeCell ref="Q21:Q28"/>
    <mergeCell ref="Q29:Q36"/>
    <mergeCell ref="Q37:Q44"/>
    <mergeCell ref="P5:P12"/>
    <mergeCell ref="P13:P20"/>
    <mergeCell ref="P21:P28"/>
    <mergeCell ref="P29:P36"/>
    <mergeCell ref="P37:P44"/>
    <mergeCell ref="O5:O12"/>
    <mergeCell ref="O13:O20"/>
    <mergeCell ref="O21:O28"/>
    <mergeCell ref="O29:O36"/>
    <mergeCell ref="O37:O44"/>
    <mergeCell ref="N5:N12"/>
    <mergeCell ref="N13:N20"/>
    <mergeCell ref="N21:N28"/>
    <mergeCell ref="N29:N36"/>
    <mergeCell ref="N37:N44"/>
    <mergeCell ref="M5:M12"/>
    <mergeCell ref="M13:M20"/>
    <mergeCell ref="M21:M28"/>
    <mergeCell ref="M29:M36"/>
    <mergeCell ref="M37:M44"/>
    <mergeCell ref="K37:K44"/>
    <mergeCell ref="L5:L12"/>
    <mergeCell ref="L13:L20"/>
    <mergeCell ref="L21:L28"/>
    <mergeCell ref="L29:L36"/>
    <mergeCell ref="L37:L44"/>
    <mergeCell ref="K5:K12"/>
    <mergeCell ref="K13:K20"/>
    <mergeCell ref="K21:K28"/>
    <mergeCell ref="K29:K36"/>
    <mergeCell ref="E29:E32"/>
    <mergeCell ref="E13:E16"/>
    <mergeCell ref="E5:E8"/>
    <mergeCell ref="J5:J12"/>
    <mergeCell ref="J13:J20"/>
    <mergeCell ref="J21:J28"/>
    <mergeCell ref="J29:J36"/>
    <mergeCell ref="H13:H20"/>
    <mergeCell ref="F13:F20"/>
    <mergeCell ref="A37:A44"/>
    <mergeCell ref="B5:B8"/>
    <mergeCell ref="B9:B12"/>
    <mergeCell ref="B13:B16"/>
    <mergeCell ref="B17:B20"/>
    <mergeCell ref="B21:B24"/>
    <mergeCell ref="B25:B28"/>
    <mergeCell ref="B29:B32"/>
    <mergeCell ref="B33:B36"/>
    <mergeCell ref="B37:B40"/>
    <mergeCell ref="A5:A12"/>
    <mergeCell ref="A13:A20"/>
    <mergeCell ref="A21:A28"/>
    <mergeCell ref="A29:A36"/>
    <mergeCell ref="G5:G12"/>
    <mergeCell ref="H5:H12"/>
    <mergeCell ref="G13:G20"/>
    <mergeCell ref="B41:B44"/>
    <mergeCell ref="E3:H3"/>
    <mergeCell ref="C3:D3"/>
    <mergeCell ref="F5:F12"/>
    <mergeCell ref="A3:B4"/>
    <mergeCell ref="I5:I12"/>
    <mergeCell ref="I13:I20"/>
    <mergeCell ref="I29:I36"/>
    <mergeCell ref="I37:I44"/>
    <mergeCell ref="I21:I28"/>
    <mergeCell ref="J37:J44"/>
    <mergeCell ref="E37:E40"/>
    <mergeCell ref="F37:F44"/>
    <mergeCell ref="F21:F28"/>
    <mergeCell ref="F29:F36"/>
    <mergeCell ref="G37:G44"/>
    <mergeCell ref="H37:H44"/>
    <mergeCell ref="G21:G28"/>
    <mergeCell ref="H21:H28"/>
    <mergeCell ref="G29:G36"/>
    <mergeCell ref="H29:H36"/>
    <mergeCell ref="R5:R12"/>
    <mergeCell ref="R13:R20"/>
    <mergeCell ref="R21:R28"/>
    <mergeCell ref="R29:R36"/>
    <mergeCell ref="R37:R4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凯翔 张</dc:creator>
  <cp:lastModifiedBy>凯翔 张</cp:lastModifiedBy>
  <dcterms:created xsi:type="dcterms:W3CDTF">2026-08-14T13:18:54Z</dcterms:created>
  <dcterms:modified xsi:type="dcterms:W3CDTF">2026-09-23T02:42:39Z</dcterms:modified>
</cp:coreProperties>
</file>